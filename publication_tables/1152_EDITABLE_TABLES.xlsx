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07b1c4df174f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a1911aa4a6c4036"/>
    <x:sheet xmlns:r="http://schemas.openxmlformats.org/officeDocument/2006/relationships" name="Architecture" sheetId="2" r:id="R1206c9126592477e"/>
    <x:sheet xmlns:r="http://schemas.openxmlformats.org/officeDocument/2006/relationships" name="T6 design" sheetId="3" r:id="R8aa22ce1553e4116"/>
    <x:sheet xmlns:r="http://schemas.openxmlformats.org/officeDocument/2006/relationships" name="Primary contrasts" sheetId="4" r:id="R304befac5ffa414b"/>
    <x:sheet xmlns:r="http://schemas.openxmlformats.org/officeDocument/2006/relationships" name="S0 reliability" sheetId="5" r:id="Rc248063622de460c"/>
    <x:sheet xmlns:r="http://schemas.openxmlformats.org/officeDocument/2006/relationships" name="Severity actions" sheetId="6" r:id="Re10f8fa22872473f"/>
    <x:sheet xmlns:r="http://schemas.openxmlformats.org/officeDocument/2006/relationships" name="Ablations" sheetId="7" r:id="R0377c0ab5bda4738"/>
    <x:sheet xmlns:r="http://schemas.openxmlformats.org/officeDocument/2006/relationships" name="Baseline definitions" sheetId="8" r:id="R2d8bcd1c0e9c43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sz val="11"/>
      <x:color rgb="FF2E7D32"/>
      <x:name val="Carlito"/>
    </x:font>
    <x:font>
      <x:sz val="11"/>
      <x:color rgb="FF17212B"/>
      <x:name val="Carlito"/>
    </x:font>
    <x:font>
      <x:b/>
      <x:sz val="10"/>
      <x:color rgb="FFFFFFFF"/>
      <x:name val="Carlito"/>
    </x:font>
    <x:font>
      <x:sz val="9"/>
      <x:color rgb="FF17212B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A7F8E"/>
      </x:patternFill>
    </x:fill>
    <x:fill>
      <x:patternFill patternType="solid">
        <x:fgColor rgb="FFE2F0D9"/>
      </x:patternFill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C7E8F3"/>
      </x:patternFill>
    </x:fill>
  </x:fills>
  <x:borders count="9">
    <x:border/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  <x:border>
      <x:left style="thin">
        <x:color rgb="FFC8D3DD"/>
      </x:left>
      <x:right style="thin">
        <x:color rgb="FFC8D3DD"/>
      </x:right>
      <x:top style="thin">
        <x:color rgb="FFC8D3DD"/>
      </x:top>
      <x:bottom style="thin">
        <x:color rgb="FFC8D3DD"/>
      </x:bottom>
    </x:border>
    <x:border>
      <x:right style="thin">
        <x:color rgb="FFD9E2F3"/>
      </x:right>
    </x:border>
    <x:border>
      <x:left style="thin">
        <x:color rgb="FFD9E2F3"/>
      </x:left>
      <x:right style="thin">
        <x:color rgb="FFD9E2F3"/>
      </x:right>
    </x:border>
    <x:border>
      <x:left style="thin">
        <x:color rgb="FFD9E2F3"/>
      </x:left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/>
    <x:xf numFmtId="0" fontId="0" fillId="0" borderId="2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5" borderId="2" xfId="0" applyNumberFormat="1" applyFont="1" applyFill="1" applyBorder="1"/>
    <x:xf numFmtId="0" fontId="4" fillId="5" borderId="2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3" xfId="0" applyNumberFormat="1" applyFont="1" applyFill="1" applyBorder="1"/>
    <x:xf numFmtId="0" fontId="5" fillId="6" borderId="4" xfId="0" applyNumberFormat="1" applyFont="1" applyFill="1" applyBorder="1"/>
    <x:xf numFmtId="0" fontId="5" fillId="6" borderId="5" xfId="0" applyNumberFormat="1" applyFont="1" applyFill="1" applyBorder="1"/>
    <x:xf numFmtId="0" fontId="5" fillId="5" borderId="4" xfId="0" applyNumberFormat="1" applyFont="1" applyFill="1" applyBorder="1"/>
    <x:xf numFmtId="0" fontId="4" fillId="5" borderId="4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6" xfId="0" applyNumberFormat="1" applyFont="1" applyFill="1" applyBorder="1"/>
    <x:xf numFmtId="0" fontId="6" fillId="7" borderId="7" xfId="0" applyNumberFormat="1" applyFont="1" applyFill="1" applyBorder="1"/>
    <x:xf numFmtId="0" fontId="6" fillId="7" borderId="8" xfId="0" applyNumberFormat="1" applyFont="1" applyFill="1" applyBorder="1"/>
    <x:xf numFmtId="0" fontId="6" fillId="7" borderId="6" xfId="0" applyNumberFormat="1" applyFont="1" applyFill="1" applyBorder="1" applyAlignment="1">
      <x:alignment wrapText="1"/>
    </x:xf>
    <x:xf numFmtId="0" fontId="6" fillId="7" borderId="7" xfId="0" applyNumberFormat="1" applyFont="1" applyFill="1" applyBorder="1" applyAlignment="1">
      <x:alignment wrapText="1"/>
    </x:xf>
    <x:xf numFmtId="0" fontId="6" fillId="7" borderId="8" xfId="0" applyNumberFormat="1" applyFont="1" applyFill="1" applyBorder="1" applyAlignment="1">
      <x:alignment wrapText="1"/>
    </x:xf>
    <x:xf numFmtId="0" fontId="6" fillId="7" borderId="6" xfId="0" applyNumberFormat="1" applyFont="1" applyFill="1" applyBorder="1" applyAlignment="1">
      <x:alignment vertical="center" wrapText="1"/>
    </x:xf>
    <x:xf numFmtId="0" fontId="6" fillId="7" borderId="7" xfId="0" applyNumberFormat="1" applyFont="1" applyFill="1" applyBorder="1" applyAlignment="1">
      <x:alignment vertical="center" wrapText="1"/>
    </x:xf>
    <x:xf numFmtId="0" fontId="6" fillId="7" borderId="8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3" xfId="0" applyNumberFormat="1" applyFont="1" applyFill="1" applyBorder="1"/>
    <x:xf numFmtId="0" fontId="7" fillId="8" borderId="4" xfId="0" applyNumberFormat="1" applyFont="1" applyFill="1" applyBorder="1"/>
    <x:xf numFmtId="0" fontId="7" fillId="8" borderId="5" xfId="0" applyNumberFormat="1" applyFont="1" applyFill="1" applyBorder="1"/>
    <x:xf numFmtId="0" fontId="7" fillId="8" borderId="3" xfId="0" applyNumberFormat="1" applyFont="1" applyFill="1" applyBorder="1" applyAlignment="1">
      <x:alignment wrapText="1"/>
    </x:xf>
    <x:xf numFmtId="0" fontId="7" fillId="8" borderId="4" xfId="0" applyNumberFormat="1" applyFont="1" applyFill="1" applyBorder="1" applyAlignment="1">
      <x:alignment wrapText="1"/>
    </x:xf>
    <x:xf numFmtId="0" fontId="7" fillId="8" borderId="5" xfId="0" applyNumberFormat="1" applyFont="1" applyFill="1" applyBorder="1" applyAlignment="1">
      <x:alignment wrapText="1"/>
    </x:xf>
    <x:xf numFmtId="0" fontId="7" fillId="8" borderId="3" xfId="0" applyNumberFormat="1" applyFont="1" applyFill="1" applyBorder="1" applyAlignment="1">
      <x:alignment vertical="center" wrapText="1"/>
    </x:xf>
    <x:xf numFmtId="0" fontId="7" fillId="8" borderId="4" xfId="0" applyNumberFormat="1" applyFont="1" applyFill="1" applyBorder="1" applyAlignment="1">
      <x:alignment vertical="center" wrapText="1"/>
    </x:xf>
    <x:xf numFmtId="0" fontId="7" fillId="8" borderId="5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/>
    <x:xf numFmtId="0" fontId="7" fillId="6" borderId="3" xfId="0" applyNumberFormat="1" applyFont="1" applyFill="1" applyBorder="1"/>
    <x:xf numFmtId="0" fontId="7" fillId="6" borderId="4" xfId="0" applyNumberFormat="1" applyFont="1" applyFill="1" applyBorder="1"/>
    <x:xf numFmtId="0" fontId="7" fillId="6" borderId="5" xfId="0" applyNumberFormat="1" applyFont="1" applyFill="1" applyBorder="1"/>
    <x:xf numFmtId="0" fontId="7" fillId="6" borderId="3" xfId="0" applyNumberFormat="1" applyFont="1" applyFill="1" applyBorder="1" applyAlignment="1">
      <x:alignment wrapText="1"/>
    </x:xf>
    <x:xf numFmtId="0" fontId="7" fillId="6" borderId="4" xfId="0" applyNumberFormat="1" applyFont="1" applyFill="1" applyBorder="1" applyAlignment="1">
      <x:alignment wrapText="1"/>
    </x:xf>
    <x:xf numFmtId="0" fontId="7" fillId="6" borderId="5" xfId="0" applyNumberFormat="1" applyFont="1" applyFill="1" applyBorder="1" applyAlignment="1">
      <x:alignment wrapText="1"/>
    </x:xf>
    <x:xf numFmtId="0" fontId="7" fillId="6" borderId="3" xfId="0" applyNumberFormat="1" applyFont="1" applyFill="1" applyBorder="1" applyAlignment="1">
      <x:alignment vertical="center" wrapText="1"/>
    </x:xf>
    <x:xf numFmtId="0" fontId="7" fillId="6" borderId="4" xfId="0" applyNumberFormat="1" applyFont="1" applyFill="1" applyBorder="1" applyAlignment="1">
      <x:alignment vertical="center" wrapText="1"/>
    </x:xf>
    <x:xf numFmtId="0" fontId="7" fillId="6" borderId="5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276221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c5f82f7d964861" /><Relationship Type="http://schemas.openxmlformats.org/officeDocument/2006/relationships/theme" Target="/xl/theme/theme1.xml" Id="Rfb8f930fdffc432d" /><Relationship Type="http://schemas.openxmlformats.org/officeDocument/2006/relationships/sharedStrings" Target="/xl/sharedStrings.xml" Id="R0d9eda38723646d6" /><Relationship Type="http://schemas.openxmlformats.org/officeDocument/2006/relationships/worksheet" Target="/xl/worksheets/sheet1.xml" Id="R3a1911aa4a6c4036" /><Relationship Type="http://schemas.openxmlformats.org/officeDocument/2006/relationships/worksheet" Target="/xl/worksheets/sheet2.xml" Id="R1206c9126592477e" /><Relationship Type="http://schemas.openxmlformats.org/officeDocument/2006/relationships/worksheet" Target="/xl/worksheets/sheet3.xml" Id="R8aa22ce1553e4116" /><Relationship Type="http://schemas.openxmlformats.org/officeDocument/2006/relationships/worksheet" Target="/xl/worksheets/sheet4.xml" Id="R304befac5ffa414b" /><Relationship Type="http://schemas.openxmlformats.org/officeDocument/2006/relationships/worksheet" Target="/xl/worksheets/sheet5.xml" Id="Rc248063622de460c" /><Relationship Type="http://schemas.openxmlformats.org/officeDocument/2006/relationships/worksheet" Target="/xl/worksheets/sheet6.xml" Id="Re10f8fa22872473f" /><Relationship Type="http://schemas.openxmlformats.org/officeDocument/2006/relationships/worksheet" Target="/xl/worksheets/sheet7.xml" Id="R0377c0ab5bda4738" /><Relationship Type="http://schemas.openxmlformats.org/officeDocument/2006/relationships/worksheet" Target="/xl/worksheets/sheet8.xml" Id="R2d8bcd1c0e9c4322" /></Relationships>
</file>

<file path=xl/tables/table1.xml><?xml version="1.0" encoding="utf-8"?>
<x:table xmlns:x="http://schemas.openxmlformats.org/spreadsheetml/2006/main" id="1" name="EvidenceTable1" displayName="EvidenceTable1" ref="A1:D11" headerRowCount="1" totalsRowCount="0" totalsRowShown="0">
  <x:tableColumns count="4">
    <x:tableColumn id="1" name="element"/>
    <x:tableColumn id="2" name="frozen_definition"/>
    <x:tableColumn id="3" name="T6_status"/>
    <x:tableColumn id="4" name="decision_ro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idenceTable2" displayName="EvidenceTable2" ref="A1:G9" headerRowCount="1" totalsRowCount="0" totalsRowShown="0">
  <x:tableColumns count="7">
    <x:tableColumn id="1" name="row_id"/>
    <x:tableColumn id="2" name="scenario_id"/>
    <x:tableColumn id="3" name="p_high"/>
    <x:tableColumn id="4" name="episodes"/>
    <x:tableColumn id="5" name="role"/>
    <x:tableColumn id="6" name="claim_role"/>
    <x:tableColumn id="7" name="effective_row_sha256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videnceTable3" displayName="EvidenceTable3" ref="A1:L4" headerRowCount="1" totalsRowCount="0" totalsRowShown="0">
  <x:tableColumns count="12">
    <x:tableColumn id="1" name="contrast"/>
    <x:tableColumn id="2" name="n"/>
    <x:tableColumn id="3" name="mean_D"/>
    <x:tableColumn id="4" name="median_D"/>
    <x:tableColumn id="5" name="SD"/>
    <x:tableColumn id="6" name="MAD_scale"/>
    <x:tableColumn id="7" name="CI95_low"/>
    <x:tableColumn id="8" name="CI95_high"/>
    <x:tableColumn id="9" name="p_unadjusted"/>
    <x:tableColumn id="10" name="p_Holm"/>
    <x:tableColumn id="11" name="Delta_star_relation"/>
    <x:tableColumn id="12" name="claim_eligibl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videnceTable4" displayName="EvidenceTable4" ref="A1:F12" headerRowCount="1" totalsRowCount="0" totalsRowShown="0">
  <x:tableColumns count="6">
    <x:tableColumn id="1" name="metric"/>
    <x:tableColumn id="2" name="n_or_count"/>
    <x:tableColumn id="3" name="denominator"/>
    <x:tableColumn id="4" name="estimate"/>
    <x:tableColumn id="5" name="CI95_low"/>
    <x:tableColumn id="6" name="CI95_high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videnceTable5" displayName="EvidenceTable5" ref="A1:K4" headerRowCount="1" totalsRowCount="0" totalsRowShown="0">
  <x:tableColumns count="11">
    <x:tableColumn id="1" name="row_id"/>
    <x:tableColumn id="2" name="P_x_high"/>
    <x:tableColumn id="3" name="episodes"/>
    <x:tableColumn id="4" name="monitoring_rate"/>
    <x:tableColumn id="5" name="planned_replacement_rate"/>
    <x:tableColumn id="6" name="replacement_CI95_low"/>
    <x:tableColumn id="7" name="replacement_CI95_high"/>
    <x:tableColumn id="8" name="direct_replacement_rate"/>
    <x:tableColumn id="9" name="delayed_replacement_rate"/>
    <x:tableColumn id="10" name="first_passage_rate"/>
    <x:tableColumn id="11" name="constraint_violation_ra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videnceTable6" displayName="EvidenceTable6" ref="A1:I6" headerRowCount="1" totalsRowCount="0" totalsRowShown="0">
  <x:tableColumns count="9">
    <x:tableColumn id="1" name="row_id"/>
    <x:tableColumn id="2" name="n"/>
    <x:tableColumn id="3" name="mean_control_minus_ablated"/>
    <x:tableColumn id="4" name="median"/>
    <x:tableColumn id="5" name="SD"/>
    <x:tableColumn id="6" name="MAD_scale"/>
    <x:tableColumn id="7" name="CI95_low"/>
    <x:tableColumn id="8" name="CI95_high"/>
    <x:tableColumn id="9" name="semantic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BaselineDefinitionsTable" displayName="BaselineDefinitionsTable" ref="A1:G5" headerRowCount="1" totalsRowCount="0" totalsRowShown="0">
  <x:tableColumns count="7">
    <x:tableColumn id="1" name="baseline_id"/>
    <x:tableColumn id="2" name="information_availability"/>
    <x:tableColumn id="3" name="action_vocabulary"/>
    <x:tableColumn id="4" name="reliability_constraint"/>
    <x:tableColumn id="5" name="decision_rule"/>
    <x:tableColumn id="6" name="scientific_relevance"/>
    <x:tableColumn id="7" name="primary_multiplicity_famil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c74e643cc034c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ddb5a7f8d1a46e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f29c5f3a33e4ed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d659c3dbd494c6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73846cc983c41a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20280a21c5e451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f28cea27175438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18.75" hidden="0" customWidth="1"/>
    <x:col min="3" max="3" width="15" hidden="0" customWidth="1"/>
    <x:col min="4" max="4" width="15" hidden="0" customWidth="1"/>
    <x:col min="5" max="5" width="41.25" hidden="0" customWidth="1"/>
  </x:cols>
  <x:sheetData>
    <x:row r="1" ht="43.20000076293945" hidden="0" customHeight="1">
      <x:c r="A1" s="13" t="str">
        <x:v>ER-08Q · Final corrected editable evidence tables</x:v>
      </x:c>
      <x:c r="B1" s="13"/>
      <x:c r="C1" s="13"/>
      <x:c r="D1" s="13"/>
      <x:c r="E1" s="13"/>
    </x:row>
    <x:row r="2"/>
    <x:row r="3" ht="15" hidden="0" customHeight="1">
      <x:c r="A3" s="4" t="str">
        <x:v>Evidence class</x:v>
      </x:c>
      <x:c r="B3" t="str">
        <x:v>T6_SCIENTIFIC_LOCKED_EXPERIMENT</x:v>
      </x:c>
    </x:row>
    <x:row r="4" ht="15" hidden="0" customHeight="1">
      <x:c r="A4" s="4" t="str">
        <x:v>Source SHA-256</x:v>
      </x:c>
      <x:c r="B4" t="str">
        <x:v>9171A598E6B441041463A88ABB39CCB6705EE86265B43D601E07F4CABDEC5621</x:v>
      </x:c>
    </x:row>
    <x:row r="5" ht="15" hidden="0" customHeight="1">
      <x:c r="A5" s="4" t="str">
        <x:v>Executable SHA-256</x:v>
      </x:c>
      <x:c r="B5" t="str">
        <x:v>4E1F7F2ACC4768E6834B0810C7055362C0B30D525D85720E59792CE4FB0990A6</x:v>
      </x:c>
    </x:row>
    <x:row r="6" ht="15" hidden="0" customHeight="1">
      <x:c r="A6" s="4" t="str">
        <x:v>Config SHA-256</x:v>
      </x:c>
      <x:c r="B6" t="str">
        <x:v>A565B489E3A09F903A80F3A4E466F5331A4873E5C6B1FA179CD6AD1373E28598</x:v>
      </x:c>
    </x:row>
    <x:row r="7" ht="15" hidden="0" customHeight="1">
      <x:c r="A7" s="4" t="str">
        <x:v>Authorization SHA-256</x:v>
      </x:c>
      <x:c r="B7" t="str">
        <x:v>140B9016C6B314FFA6B6FE480B46DA45AF09752301F2F4D2A6F58A6494CF299C</x:v>
      </x:c>
    </x:row>
    <x:row r="8" ht="15" hidden="0" customHeight="1">
      <x:c r="A8" s="4" t="str">
        <x:v>Frozen analysis</x:v>
      </x:c>
      <x:c r="B8" t="str">
        <x:v>9,999 paired clustered bootstrap replicates; Holm over three primary contrasts</x:v>
      </x:c>
    </x:row>
    <x:row r="9" ht="15" hidden="0" customHeight="1">
      <x:c r="A9" s="4" t="str">
        <x:v>Difference sign</x:v>
      </x:c>
      <x:c r="B9" t="str">
        <x:v>D = J(P-R4) − J(comparator); negative favours P-R4</x:v>
      </x:c>
    </x:row>
    <x:row r="10" ht="15" hidden="0" customHeight="1">
      <x:c r="A10" s="4" t="str">
        <x:v>Scope</x:v>
      </x:c>
      <x:c r="B10" t="str">
        <x:v>One indexed cutter; model-based T6 evidence; no machine- or personnel-safety inference</x:v>
      </x:c>
    </x:row>
    <x:row r="11"/>
    <x:row r="12" ht="15" hidden="0" customHeight="1">
      <x:c r="A12" s="11" t="str">
        <x:v>Sheet</x:v>
      </x:c>
      <x:c r="B12" s="11" t="str">
        <x:v>Expected rows</x:v>
      </x:c>
      <x:c r="C12" s="11" t="str">
        <x:v>Observed rows</x:v>
      </x:c>
      <x:c r="D12" s="11" t="str">
        <x:v>QC</x:v>
      </x:c>
      <x:c r="E12" s="11" t="str">
        <x:v>Source CSV</x:v>
      </x:c>
    </x:row>
    <x:row r="13" ht="15" hidden="0" customHeight="1">
      <x:c r="A13" s="12" t="str">
        <x:v>Architecture</x:v>
      </x:c>
      <x:c r="B13" s="12" t="n">
        <x:v>10</x:v>
      </x:c>
      <x:c r="C13" s="12" t="n">
        <x:v>10</x:v>
      </x:c>
      <x:c r="D13" s="15" t="str">
        <x:v>PASS</x:v>
      </x:c>
      <x:c r="E13" s="12" t="str">
        <x:v>Table_01_System_Model_and_Action_Architecture.csv</x:v>
      </x:c>
    </x:row>
    <x:row r="14" ht="15" hidden="0" customHeight="1">
      <x:c r="A14" s="12" t="str">
        <x:v>T6 design</x:v>
      </x:c>
      <x:c r="B14" s="12" t="n">
        <x:v>8</x:v>
      </x:c>
      <x:c r="C14" s="12" t="n">
        <x:f>COUNTA('T6 design'!A2:A1000)</x:f>
        <x:v>8</x:v>
      </x:c>
      <x:c r="D14" s="12" t="str">
        <x:f>IF(B14=C14,"PASS","FAIL")</x:f>
        <x:v>PASS</x:v>
      </x:c>
      <x:c r="E14" s="12" t="str">
        <x:v>Table_02_T6_Design_and_Row_Lineage.csv</x:v>
      </x:c>
    </x:row>
    <x:row r="15" ht="15" hidden="0" customHeight="1">
      <x:c r="A15" s="12" t="str">
        <x:v>Primary contrasts</x:v>
      </x:c>
      <x:c r="B15" s="12" t="n">
        <x:v>3</x:v>
      </x:c>
      <x:c r="C15" s="12" t="n">
        <x:f>COUNTA('Primary contrasts'!A2:A1000)</x:f>
        <x:v>3</x:v>
      </x:c>
      <x:c r="D15" s="12" t="str">
        <x:f>IF(B15=C15,"PASS","FAIL")</x:f>
        <x:v>PASS</x:v>
      </x:c>
      <x:c r="E15" s="12" t="str">
        <x:v>Table_04_Primary_Paired_Contrasts.csv</x:v>
      </x:c>
    </x:row>
    <x:row r="16" ht="15" hidden="0" customHeight="1">
      <x:c r="A16" s="12" t="str">
        <x:v>S0 reliability</x:v>
      </x:c>
      <x:c r="B16" s="12" t="n">
        <x:v>11</x:v>
      </x:c>
      <x:c r="C16" s="12" t="n">
        <x:f>COUNTA('S0 reliability'!A2:A1000)</x:f>
        <x:v>11</x:v>
      </x:c>
      <x:c r="D16" s="12" t="str">
        <x:f>IF(B16=C16,"PASS","FAIL")</x:f>
        <x:v>PASS</x:v>
      </x:c>
      <x:c r="E16" s="12" t="str">
        <x:v>Table_05_S0_Reliability_Calibration_and_Action_Evidence.csv</x:v>
      </x:c>
    </x:row>
    <x:row r="17" ht="15" hidden="0" customHeight="1">
      <x:c r="A17" s="12" t="str">
        <x:v>Severity actions</x:v>
      </x:c>
      <x:c r="B17" s="12" t="n">
        <x:v>3</x:v>
      </x:c>
      <x:c r="C17" s="12" t="n">
        <x:f>COUNTA('Severity actions'!A2:A1000)</x:f>
        <x:v>3</x:v>
      </x:c>
      <x:c r="D17" s="12" t="str">
        <x:f>IF(B17=C17,"PASS","FAIL")</x:f>
        <x:v>PASS</x:v>
      </x:c>
      <x:c r="E17" s="12" t="str">
        <x:v>Table_06_Severity_and_Action_Response.csv</x:v>
      </x:c>
    </x:row>
    <x:row r="18" ht="15" hidden="0" customHeight="1">
      <x:c r="A18" s="12" t="str">
        <x:v>Ablations</x:v>
      </x:c>
      <x:c r="B18" s="12" t="n">
        <x:v>5</x:v>
      </x:c>
      <x:c r="C18" s="12" t="n">
        <x:f>COUNTA('Ablations'!A2:A1000)</x:f>
        <x:v>5</x:v>
      </x:c>
      <x:c r="D18" s="12" t="str">
        <x:f>IF(B18=C18,"PASS","FAIL")</x:f>
        <x:v>PASS</x:v>
      </x:c>
      <x:c r="E18" s="12" t="str">
        <x:v>Table_07_Predeclaration_Ablation_Effects.csv</x:v>
      </x:c>
    </x:row>
    <x:row r="19">
      <x:c r="A19" s="18" t="str">
        <x:v>Baseline definitions</x:v>
      </x:c>
      <x:c r="B19" s="19" t="n">
        <x:v>4</x:v>
      </x:c>
      <x:c r="C19" s="19" t="n">
        <x:v>4</x:v>
      </x:c>
      <x:c r="D19" s="22" t="str">
        <x:v>PASS</x:v>
      </x:c>
      <x:c r="E19" s="20" t="str">
        <x:v>Table_03_Baseline_Definitions.csv</x:v>
      </x:c>
    </x:row>
  </x:sheetData>
  <x:mergeCells>
    <x:mergeCell ref="A1:E1"/>
  </x:mergeCells>
  <x:conditionalFormatting sqref="D13:D18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27.5" hidden="0" customWidth="1"/>
    <x:col min="3" max="3" width="27.5" hidden="0" customWidth="1"/>
    <x:col min="4" max="4" width="27.5" hidden="0" customWidth="1"/>
  </x:cols>
  <x:sheetData>
    <x:row r="1" ht="15" hidden="0" customHeight="1">
      <x:c r="A1" s="8" t="str">
        <x:v>element</x:v>
      </x:c>
      <x:c r="B1" s="8" t="str">
        <x:v>frozen_definition</x:v>
      </x:c>
      <x:c r="C1" s="8" t="str">
        <x:v>T6_status</x:v>
      </x:c>
      <x:c r="D1" s="8" t="str">
        <x:v>decision_role</x:v>
      </x:c>
    </x:row>
    <x:row r="2" ht="39.599998474121094" hidden="0" customHeight="1">
      <x:c r="A2" s="10" t="str">
        <x:v>System boundary</x:v>
      </x:c>
      <x:c r="B2" s="10" t="str">
        <x:v>One indexed cutter position</x:v>
      </x:c>
      <x:c r="C2" s="10" t="str">
        <x:v>active</x:v>
      </x:c>
      <x:c r="D2" s="10" t="str">
        <x:v>Component-level maintenance decision; no machine-wide inference</x:v>
      </x:c>
    </x:row>
    <x:row r="3" ht="26.399999618530273" hidden="0" customHeight="1">
      <x:c r="A3" s="10" t="str">
        <x:v>Latent wear state</x:v>
      </x:c>
      <x:c r="B3" s="10" t="str">
        <x:v>Dimensionless scalar state; S0 support [0.2, 0.8]</x:v>
      </x:c>
      <x:c r="C3" s="10" t="str">
        <x:v>active</x:v>
      </x:c>
      <x:c r="D3" s="10" t="str">
        <x:v>Posterior belief propagated under exposure</x:v>
      </x:c>
    </x:row>
    <x:row r="4" ht="26.399999618530273" hidden="0" customHeight="1">
      <x:c r="A4" s="10" t="str">
        <x:v>Functional limit</x:v>
      </x:c>
      <x:c r="B4" s="10" t="str">
        <x:v>Boundary 0.8375; first-passage g≤0</x:v>
      </x:c>
      <x:c r="C4" s="10" t="str">
        <x:v>active</x:v>
      </x:c>
      <x:c r="D4" s="10" t="str">
        <x:v>Failure definition and reliability outcome</x:v>
      </x:c>
    </x:row>
    <x:row r="5" ht="26.399999618530273" hidden="0" customHeight="1">
      <x:c r="A5" s="10" t="str">
        <x:v>Continue</x:v>
      </x:c>
      <x:c r="B5" s="10" t="str">
        <x:v>No immediate intervention</x:v>
      </x:c>
      <x:c r="C5" s="10" t="str">
        <x:v>enabled</x:v>
      </x:c>
      <x:c r="D5" s="10" t="str">
        <x:v>Routine observation and continued exposure</x:v>
      </x:c>
    </x:row>
    <x:row r="6" ht="26.399999618530273" hidden="0" customHeight="1">
      <x:c r="A6" s="10" t="str">
        <x:v>Intensified monitoring</x:v>
      </x:c>
      <x:c r="B6" s="10" t="str">
        <x:v>Binary information action; duration 0.075</x:v>
      </x:c>
      <x:c r="C6" s="10" t="str">
        <x:v>enabled</x:v>
      </x:c>
      <x:c r="D6" s="10" t="str">
        <x:v>Bounded Bayesian information action</x:v>
      </x:c>
    </x:row>
    <x:row r="7" ht="26.399999618530273" hidden="0" customHeight="1">
      <x:c r="A7" s="10" t="str">
        <x:v>Targeted inspection</x:v>
      </x:c>
      <x:c r="B7" s="10" t="str">
        <x:v>Binary information action; duration 0.175</x:v>
      </x:c>
      <x:c r="C7" s="10" t="str">
        <x:v>disabled</x:v>
      </x:c>
      <x:c r="D7" s="10" t="str">
        <x:v>Retained in schema; not selected in T6</x:v>
      </x:c>
    </x:row>
    <x:row r="8" ht="15" hidden="0" customHeight="1">
      <x:c r="A8" s="10" t="str">
        <x:v>Planned replacement</x:v>
      </x:c>
      <x:c r="B8" s="10" t="str">
        <x:v>Terminal action; duration 0.275</x:v>
      </x:c>
      <x:c r="C8" s="10" t="str">
        <x:v>enabled</x:v>
      </x:c>
      <x:c r="D8" s="10" t="str">
        <x:v>Closes the component episode</x:v>
      </x:c>
    </x:row>
    <x:row r="9" ht="26.399999618530273" hidden="0" customHeight="1">
      <x:c r="A9" s="10" t="str">
        <x:v>Reliability constraint</x:v>
      </x:c>
      <x:c r="B9" s="10" t="str">
        <x:v>ε=0.125; εrem=0.125</x:v>
      </x:c>
      <x:c r="C9" s="10" t="str">
        <x:v>active</x:v>
      </x:c>
      <x:c r="D9" s="10" t="str">
        <x:v>Overall and branchwise first-passage control</x:v>
      </x:c>
    </x:row>
    <x:row r="10" ht="39.599998474121094" hidden="0" customHeight="1">
      <x:c r="A10" s="10" t="str">
        <x:v>Expected disutility</x:v>
      </x:c>
      <x:c r="B10" s="10" t="str">
        <x:v>Five bounded components with frozen methodological-stress weights</x:v>
      </x:c>
      <x:c r="C10" s="10" t="str">
        <x:v>active</x:v>
      </x:c>
      <x:c r="D10" s="10" t="str">
        <x:v>Objective J; EVSI excluded</x:v>
      </x:c>
    </x:row>
    <x:row r="11" ht="39.599998474121094" hidden="0" customHeight="1">
      <x:c r="A11" s="23" t="str">
        <x:v>Proposed policy</x:v>
      </x:c>
      <x:c r="B11" s="23" t="str">
        <x:v>Reliability-constrained two-stage Bayesian information-action policy, denoted P-R4</x:v>
      </x:c>
      <x:c r="C11" s="23" t="str">
        <x:v>active</x:v>
      </x:c>
      <x:c r="D11" s="23" t="str">
        <x:v>Reader-facing method identifier</x:v>
      </x:c>
    </x:row>
  </x:sheetData>
  <x:pageMargins left="0.7" right="0.7" top="0.75" bottom="0.75" header="0.3" footer="0.3"/>
  <x:tableParts count="1">
    <x:tablePart xmlns:r="http://schemas.openxmlformats.org/officeDocument/2006/relationships" r:id="R9c74e643cc034c8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6.25" hidden="0" customWidth="1"/>
    <x:col min="3" max="3" width="16.25" hidden="0" customWidth="1"/>
    <x:col min="4" max="4" width="16.25" hidden="0" customWidth="1"/>
    <x:col min="5" max="5" width="16.25" hidden="0" customWidth="1"/>
    <x:col min="6" max="6" width="16.25" hidden="0" customWidth="1"/>
    <x:col min="7" max="7" width="16.25" hidden="0" customWidth="1"/>
  </x:cols>
  <x:sheetData>
    <x:row r="1" ht="26.399999618530273" hidden="0" customHeight="1">
      <x:c r="A1" s="8" t="str">
        <x:v>row_id</x:v>
      </x:c>
      <x:c r="B1" s="8" t="str">
        <x:v>scenario_id</x:v>
      </x:c>
      <x:c r="C1" s="8" t="str">
        <x:v>p_high</x:v>
      </x:c>
      <x:c r="D1" s="8" t="str">
        <x:v>episodes</x:v>
      </x:c>
      <x:c r="E1" s="8" t="str">
        <x:v>role</x:v>
      </x:c>
      <x:c r="F1" s="8" t="str">
        <x:v>claim_role</x:v>
      </x:c>
      <x:c r="G1" s="8" t="str">
        <x:v>effective_row_sha256</x:v>
      </x:c>
    </x:row>
    <x:row r="2" ht="52.79999923706055" hidden="0" customHeight="1">
      <x:c r="A2" s="10" t="str">
        <x:v>T6-S0-PRIMARY</x:v>
      </x:c>
      <x:c r="B2" s="10" t="str">
        <x:v>S0_BASE</x:v>
      </x:c>
      <x:c r="C2" s="10" t="n">
        <x:v>0.25</x:v>
      </x:c>
      <x:c r="D2" s="10" t="n">
        <x:v>704</x:v>
      </x:c>
      <x:c r="E2" s="10" t="str">
        <x:v>PRIMARY_CONFIRMATORY_THREE_HOLM_CONTRASTS</x:v>
      </x:c>
      <x:c r="F2" s="10" t="str">
        <x:v>CLAIM-1;CLAIM-2;CLAIM-3</x:v>
      </x:c>
      <x:c r="G2" s="10" t="str">
        <x:v>E6B249A30795F73BD889487FCEE10009BC7496E6FD78E30DF3808F48E88B091F</x:v>
      </x:c>
    </x:row>
    <x:row r="3" ht="52.79999923706055" hidden="0" customHeight="1">
      <x:c r="A3" s="10" t="str">
        <x:v>T6-S1-SEV050</x:v>
      </x:c>
      <x:c r="B3" s="10" t="str">
        <x:v>S1_MODERATE_SEVERITY</x:v>
      </x:c>
      <x:c r="C3" s="10" t="n">
        <x:v>0.5</x:v>
      </x:c>
      <x:c r="D3" s="10" t="n">
        <x:v>256</x:v>
      </x:c>
      <x:c r="E3" s="10" t="str">
        <x:v>SECONDARY_PREDECLARED_SEVERITY_ROBUSTNESS</x:v>
      </x:c>
      <x:c r="F3" s="10" t="str">
        <x:v>CLAIM-3</x:v>
      </x:c>
      <x:c r="G3" s="10" t="str">
        <x:v>3FAA87AD24E8D621D0317C8D9ED50F793CA306DFB291AE08B6FE88504E451782</x:v>
      </x:c>
    </x:row>
    <x:row r="4" ht="52.79999923706055" hidden="0" customHeight="1">
      <x:c r="A4" s="10" t="str">
        <x:v>T6-S2-SEV075</x:v>
      </x:c>
      <x:c r="B4" s="10" t="str">
        <x:v>S2_HIGH_SEVERITY</x:v>
      </x:c>
      <x:c r="C4" s="10" t="n">
        <x:v>0.75</x:v>
      </x:c>
      <x:c r="D4" s="10" t="n">
        <x:v>256</x:v>
      </x:c>
      <x:c r="E4" s="10" t="str">
        <x:v>SECONDARY_PREDECLARED_SEVERITY_ROBUSTNESS</x:v>
      </x:c>
      <x:c r="F4" s="10" t="str">
        <x:v>CLAIM-3</x:v>
      </x:c>
      <x:c r="G4" s="10" t="str">
        <x:v>3D081F94C60F80D600E48A99BE5EBA3B94803551D4D9A7C0EEECB959EB588ECF</x:v>
      </x:c>
    </x:row>
    <x:row r="5" ht="52.79999923706055" hidden="0" customHeight="1">
      <x:c r="A5" s="10" t="str">
        <x:v>T6-ABL1</x:v>
      </x:c>
      <x:c r="B5" s="10" t="str">
        <x:v>S0_BASE__ABL1_NO_ENDOGENOUS_INFORMATION</x:v>
      </x:c>
      <x:c r="C5" s="10" t="n">
        <x:v>0.25</x:v>
      </x:c>
      <x:c r="D5" s="10" t="n">
        <x:v>256</x:v>
      </x:c>
      <x:c r="E5" s="10" t="str">
        <x:v>SECONDARY_PREDECLARED_PAIRED_ABLATION</x:v>
      </x:c>
      <x:c r="F5" s="10" t="str">
        <x:v>CLAIM-2</x:v>
      </x:c>
      <x:c r="G5" s="10" t="str">
        <x:v>BD8BBA2C53C0A8B5E6908CD8B95C218AFE10678CC932E6B23088309258AF1C5D</x:v>
      </x:c>
    </x:row>
    <x:row r="6" ht="52.79999923706055" hidden="0" customHeight="1">
      <x:c r="A6" s="10" t="str">
        <x:v>T6-ABL2</x:v>
      </x:c>
      <x:c r="B6" s="10" t="str">
        <x:v>S0_BASE__ABL2_POSTERIOR_MEAN</x:v>
      </x:c>
      <x:c r="C6" s="10" t="n">
        <x:v>0.25</x:v>
      </x:c>
      <x:c r="D6" s="10" t="n">
        <x:v>256</x:v>
      </x:c>
      <x:c r="E6" s="10" t="str">
        <x:v>SECONDARY_PREDECLARED_PAIRED_ABLATION</x:v>
      </x:c>
      <x:c r="F6" s="10" t="str">
        <x:v>not claimed</x:v>
      </x:c>
      <x:c r="G6" s="10" t="str">
        <x:v>0B8A1D0CB4BF314B6F189E645C0985A528ABEC25432125F5C450CE66BB10AA53</x:v>
      </x:c>
    </x:row>
    <x:row r="7" ht="52.79999923706055" hidden="0" customHeight="1">
      <x:c r="A7" s="10" t="str">
        <x:v>T6-ABL5</x:v>
      </x:c>
      <x:c r="B7" s="10" t="str">
        <x:v>S0_BASE__ABL5_NO_RELIABILITY_CONSTRAINT</x:v>
      </x:c>
      <x:c r="C7" s="10" t="n">
        <x:v>0.25</x:v>
      </x:c>
      <x:c r="D7" s="10" t="n">
        <x:v>256</x:v>
      </x:c>
      <x:c r="E7" s="10" t="str">
        <x:v>SECONDARY_PREDECLARED_PAIRED_ABLATION</x:v>
      </x:c>
      <x:c r="F7" s="10" t="str">
        <x:v>not claimed</x:v>
      </x:c>
      <x:c r="G7" s="10" t="str">
        <x:v>6593DDB650727B6A3A00542ABE63BA643954AFD7328E6F518A617D1D0FB7D361</x:v>
      </x:c>
    </x:row>
    <x:row r="8" ht="52.79999923706055" hidden="0" customHeight="1">
      <x:c r="A8" s="10" t="str">
        <x:v>T6-ABL6</x:v>
      </x:c>
      <x:c r="B8" s="10" t="str">
        <x:v>S0_BASE__ABL6_POINT_RESET</x:v>
      </x:c>
      <x:c r="C8" s="10" t="n">
        <x:v>0.25</x:v>
      </x:c>
      <x:c r="D8" s="10" t="n">
        <x:v>256</x:v>
      </x:c>
      <x:c r="E8" s="10" t="str">
        <x:v>SECONDARY_PREDECLARED_PAIRED_ABLATION</x:v>
      </x:c>
      <x:c r="F8" s="10" t="str">
        <x:v>not claimed</x:v>
      </x:c>
      <x:c r="G8" s="10" t="str">
        <x:v>8DF836E487661F8B487B696CEC7A2CEFF8CAE4F9D438D06FA8A8687A12F60CED</x:v>
      </x:c>
    </x:row>
    <x:row r="9" ht="52.79999923706055" hidden="0" customHeight="1">
      <x:c r="A9" s="10" t="str">
        <x:v>T6-ABL8</x:v>
      </x:c>
      <x:c r="B9" s="10" t="str">
        <x:v>S0_BASE__ABL8_NO_BRANCHWISE_EPSILON_REM</x:v>
      </x:c>
      <x:c r="C9" s="10" t="n">
        <x:v>0.25</x:v>
      </x:c>
      <x:c r="D9" s="10" t="n">
        <x:v>256</x:v>
      </x:c>
      <x:c r="E9" s="10" t="str">
        <x:v>SECONDARY_PREDECLARED_PAIRED_ABLATION</x:v>
      </x:c>
      <x:c r="F9" s="10" t="str">
        <x:v>not claimed</x:v>
      </x:c>
      <x:c r="G9" s="10" t="str">
        <x:v>851D5D2F5992863556FBD3A77DF5BCD8AEBBD01F8C258EE23411128C3002BBB9</x:v>
      </x:c>
    </x:row>
  </x:sheetData>
  <x:pageMargins left="0.7" right="0.7" top="0.75" bottom="0.75" header="0.3" footer="0.3"/>
  <x:tableParts count="1">
    <x:tablePart xmlns:r="http://schemas.openxmlformats.org/officeDocument/2006/relationships" r:id="R3ddb5a7f8d1a46e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6.25" hidden="0" customWidth="1"/>
    <x:col min="3" max="3" width="16.25" hidden="0" customWidth="1"/>
    <x:col min="4" max="4" width="16.25" hidden="0" customWidth="1"/>
    <x:col min="5" max="5" width="16.25" hidden="0" customWidth="1"/>
    <x:col min="6" max="6" width="16.25" hidden="0" customWidth="1"/>
    <x:col min="7" max="7" width="16.25" hidden="0" customWidth="1"/>
    <x:col min="8" max="8" width="16.25" hidden="0" customWidth="1"/>
    <x:col min="9" max="9" width="16.25" hidden="0" customWidth="1"/>
    <x:col min="10" max="10" width="16.25" hidden="0" customWidth="1"/>
    <x:col min="11" max="11" width="16.25" hidden="0" customWidth="1"/>
    <x:col min="12" max="12" width="16.25" hidden="0" customWidth="1"/>
  </x:cols>
  <x:sheetData>
    <x:row r="1" ht="15" hidden="0" customHeight="1">
      <x:c r="A1" s="8" t="str">
        <x:v>contrast</x:v>
      </x:c>
      <x:c r="B1" s="8" t="str">
        <x:v>n</x:v>
      </x:c>
      <x:c r="C1" s="8" t="str">
        <x:v>mean_D</x:v>
      </x:c>
      <x:c r="D1" s="8" t="str">
        <x:v>median_D</x:v>
      </x:c>
      <x:c r="E1" s="8" t="str">
        <x:v>SD</x:v>
      </x:c>
      <x:c r="F1" s="8" t="str">
        <x:v>MAD_scale</x:v>
      </x:c>
      <x:c r="G1" s="8" t="str">
        <x:v>CI95_low</x:v>
      </x:c>
      <x:c r="H1" s="8" t="str">
        <x:v>CI95_high</x:v>
      </x:c>
      <x:c r="I1" s="8" t="str">
        <x:v>p_unadjusted</x:v>
      </x:c>
      <x:c r="J1" s="8" t="str">
        <x:v>p_Holm</x:v>
      </x:c>
      <x:c r="K1" s="8" t="str">
        <x:v>Delta_star_relation</x:v>
      </x:c>
      <x:c r="L1" s="8" t="str">
        <x:v>claim_eligible</x:v>
      </x:c>
    </x:row>
    <x:row r="2" ht="26.399999618530273" hidden="0" customHeight="1">
      <x:c r="A2" s="10" t="str">
        <x:v>C-P-B7</x:v>
      </x:c>
      <x:c r="B2" s="10" t="n">
        <x:v>704</x:v>
      </x:c>
      <x:c r="C2" s="10" t="n">
        <x:v>-0.027688210227272712</x:v>
      </x:c>
      <x:c r="D2" s="10" t="n">
        <x:v>-0.14999999999999997</x:v>
      </x:c>
      <x:c r="E2" s="10" t="n">
        <x:v>0.13549595132941844</x:v>
      </x:c>
      <x:c r="F2" s="10" t="n">
        <x:v>0</x:v>
      </x:c>
      <x:c r="G2" s="10" t="n">
        <x:v>-0.03780300071022725</x:v>
      </x:c>
      <x:c r="H2" s="10" t="n">
        <x:v>-0.017705788352272715</x:v>
      </x:c>
      <x:c r="I2" s="10" t="n">
        <x:v>8.112561832509506e-8</x:v>
      </x:c>
      <x:c r="J2" s="10" t="n">
        <x:v>8.112561832509506e-8</x:v>
      </x:c>
      <x:c r="K2" s="10" t="str">
        <x:v>FAVOURS_P-R4_BELOW_DELTA_STAR</x:v>
      </x:c>
      <x:c r="L2" s="10" t="str">
        <x:v>YES</x:v>
      </x:c>
    </x:row>
    <x:row r="3" ht="15" hidden="0" customHeight="1">
      <x:c r="A3" s="10" t="str">
        <x:v>C-P-B4</x:v>
      </x:c>
      <x:c r="B3" s="10" t="n">
        <x:v>704</x:v>
      </x:c>
      <x:c r="C3" s="10" t="n">
        <x:v>0.14731178977272727</x:v>
      </x:c>
      <x:c r="D3" s="10" t="n">
        <x:v>0.10124999999999999</x:v>
      </x:c>
      <x:c r="E3" s="10" t="n">
        <x:v>0.16735156981374574</x:v>
      </x:c>
      <x:c r="F3" s="10" t="n">
        <x:v>6.172562461159714e-17</x:v>
      </x:c>
      <x:c r="G3" s="10" t="n">
        <x:v>0.13472425426136364</x:v>
      </x:c>
      <x:c r="H3" s="10" t="n">
        <x:v>0.15957031249999998</x:v>
      </x:c>
      <x:c r="I3" s="10" t="n">
        <x:v>9.606442121338587e-90</x:v>
      </x:c>
      <x:c r="J3" s="10" t="n">
        <x:v>2.881932636401576e-89</x:v>
      </x:c>
      <x:c r="K3" s="10" t="str">
        <x:v>FAVOURS_BASELINE</x:v>
      </x:c>
      <x:c r="L3" s="10" t="str">
        <x:v>NO</x:v>
      </x:c>
    </x:row>
    <x:row r="4" ht="26.399999618530273" hidden="0" customHeight="1">
      <x:c r="A4" s="10" t="str">
        <x:v>C-P-B1</x:v>
      </x:c>
      <x:c r="B4" s="10" t="n">
        <x:v>704</x:v>
      </x:c>
      <x:c r="C4" s="10" t="n">
        <x:v>-0.053703835227272706</x:v>
      </x:c>
      <x:c r="D4" s="10" t="n">
        <x:v>-0.14999999999999997</x:v>
      </x:c>
      <x:c r="E4" s="10" t="n">
        <x:v>0.1484873426633262</x:v>
      </x:c>
      <x:c r="F4" s="10" t="n">
        <x:v>0.04818449999999996</x:v>
      </x:c>
      <x:c r="G4" s="10" t="n">
        <x:v>-0.06497895951704544</x:v>
      </x:c>
      <x:c r="H4" s="10" t="n">
        <x:v>-0.04251926491477271</x:v>
      </x:c>
      <x:c r="I4" s="10" t="n">
        <x:v>1.4145903718271898e-20</x:v>
      </x:c>
      <x:c r="J4" s="10" t="n">
        <x:v>2.8291807436543796e-20</x:v>
      </x:c>
      <x:c r="K4" s="10" t="str">
        <x:v>FAVOURS_P-R4_AT_LEAST_DELTA_STAR</x:v>
      </x:c>
      <x:c r="L4" s="10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1f29c5f3a33e4ed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6.25" hidden="0" customWidth="1"/>
    <x:col min="3" max="3" width="16.25" hidden="0" customWidth="1"/>
    <x:col min="4" max="4" width="16.25" hidden="0" customWidth="1"/>
    <x:col min="5" max="5" width="16.25" hidden="0" customWidth="1"/>
    <x:col min="6" max="6" width="16.25" hidden="0" customWidth="1"/>
  </x:cols>
  <x:sheetData>
    <x:row r="1" ht="15" hidden="0" customHeight="1">
      <x:c r="A1" s="8" t="str">
        <x:v>metric</x:v>
      </x:c>
      <x:c r="B1" s="8" t="str">
        <x:v>n_or_count</x:v>
      </x:c>
      <x:c r="C1" s="8" t="str">
        <x:v>denominator</x:v>
      </x:c>
      <x:c r="D1" s="8" t="str">
        <x:v>estimate</x:v>
      </x:c>
      <x:c r="E1" s="8" t="str">
        <x:v>CI95_low</x:v>
      </x:c>
      <x:c r="F1" s="8" t="str">
        <x:v>CI95_high</x:v>
      </x:c>
    </x:row>
    <x:row r="2" ht="15" hidden="0" customHeight="1">
      <x:c r="A2" s="10" t="str">
        <x:v>Observed first passage</x:v>
      </x:c>
      <x:c r="B2" s="10" t="n">
        <x:v>39</x:v>
      </x:c>
      <x:c r="C2" s="10" t="n">
        <x:v>704</x:v>
      </x:c>
      <x:c r="D2" s="10" t="n">
        <x:v>0.05539772727272727</x:v>
      </x:c>
      <x:c r="E2" s="10" t="n">
        <x:v>0.040786760588139945</x:v>
      </x:c>
      <x:c r="F2" s="10" t="n">
        <x:v>0.0748344110751402</x:v>
      </x:c>
    </x:row>
    <x:row r="3" ht="15" hidden="0" customHeight="1">
      <x:c r="A3" s="10" t="str">
        <x:v>Constraint violation</x:v>
      </x:c>
      <x:c r="B3" s="10" t="n">
        <x:v>0</x:v>
      </x:c>
      <x:c r="C3" s="10" t="n">
        <x:v>704</x:v>
      </x:c>
      <x:c r="D3" s="10" t="n">
        <x:v>0</x:v>
      </x:c>
      <x:c r="E3" s="10" t="n">
        <x:v>0</x:v>
      </x:c>
      <x:c r="F3" s="10" t="n">
        <x:v>0.005427004554231994</x:v>
      </x:c>
    </x:row>
    <x:row r="4" ht="15" hidden="0" customHeight="1">
      <x:c r="A4" s="10" t="str">
        <x:v>Any monitoring</x:v>
      </x:c>
      <x:c r="B4" s="10" t="n">
        <x:v>640</x:v>
      </x:c>
      <x:c r="C4" s="10" t="n">
        <x:v>704</x:v>
      </x:c>
      <x:c r="D4" s="10" t="n">
        <x:v>0.9090909090909091</x:v>
      </x:c>
      <x:c r="E4" s="10" t="n">
        <x:v>0.8855765982617305</x:v>
      </x:c>
      <x:c r="F4" s="10" t="n">
        <x:v>0.928164943466625</x:v>
      </x:c>
    </x:row>
    <x:row r="5" ht="26.399999618530273" hidden="0" customHeight="1">
      <x:c r="A5" s="10" t="str">
        <x:v>Any planned replacement</x:v>
      </x:c>
      <x:c r="B5" s="10" t="n">
        <x:v>254</x:v>
      </x:c>
      <x:c r="C5" s="10" t="n">
        <x:v>704</x:v>
      </x:c>
      <x:c r="D5" s="10" t="n">
        <x:v>0.36079545454545453</x:v>
      </x:c>
      <x:c r="E5" s="10" t="n">
        <x:v>0.32616507527760125</x:v>
      </x:c>
      <x:c r="F5" s="10" t="n">
        <x:v>0.39693676121761096</x:v>
      </x:c>
    </x:row>
    <x:row r="6" ht="26.399999618530273" hidden="0" customHeight="1">
      <x:c r="A6" s="10" t="str">
        <x:v>Direct planned replacement</x:v>
      </x:c>
      <x:c r="B6" s="10" t="n">
        <x:v>0</x:v>
      </x:c>
      <x:c r="C6" s="10" t="n">
        <x:v>704</x:v>
      </x:c>
      <x:c r="D6" s="10" t="n">
        <x:v>0</x:v>
      </x:c>
      <x:c r="E6" s="10" t="n">
        <x:v>0</x:v>
      </x:c>
      <x:c r="F6" s="10" t="n">
        <x:v>0.005427004554231994</x:v>
      </x:c>
    </x:row>
    <x:row r="7" ht="26.399999618530273" hidden="0" customHeight="1">
      <x:c r="A7" s="10" t="str">
        <x:v>Delayed planned replacement</x:v>
      </x:c>
      <x:c r="B7" s="10" t="n">
        <x:v>254</x:v>
      </x:c>
      <x:c r="C7" s="10" t="n">
        <x:v>704</x:v>
      </x:c>
      <x:c r="D7" s="10" t="n">
        <x:v>0.36079545454545453</x:v>
      </x:c>
      <x:c r="E7" s="10" t="n">
        <x:v>0.32616507527760125</x:v>
      </x:c>
      <x:c r="F7" s="10" t="n">
        <x:v>0.39693676121761096</x:v>
      </x:c>
    </x:row>
    <x:row r="8" ht="15" hidden="0" customHeight="1">
      <x:c r="A8" s="10" t="str">
        <x:v>Targeted inspection</x:v>
      </x:c>
      <x:c r="B8" s="10" t="n">
        <x:v>0</x:v>
      </x:c>
      <x:c r="C8" s="10" t="n">
        <x:v>704</x:v>
      </x:c>
      <x:c r="D8" s="10" t="n">
        <x:v>0</x:v>
      </x:c>
      <x:c r="E8" s="10" t="n">
        <x:v>0</x:v>
      </x:c>
      <x:c r="F8" s="10" t="n">
        <x:v>0.005427004554231994</x:v>
      </x:c>
    </x:row>
    <x:row r="9" ht="15" hidden="0" customHeight="1">
      <x:c r="A9" s="10" t="str">
        <x:v>Mean predicted failure</x:v>
      </x:c>
      <x:c r="B9" s="10"/>
      <x:c r="C9" s="10" t="n">
        <x:v>704</x:v>
      </x:c>
      <x:c r="D9" s="10" t="n">
        <x:v>0.04239442222864476</x:v>
      </x:c>
      <x:c r="E9" s="10"/>
      <x:c r="F9" s="10"/>
    </x:row>
    <x:row r="10" ht="15" hidden="0" customHeight="1">
      <x:c r="A10" s="10" t="str">
        <x:v>Brier score</x:v>
      </x:c>
      <x:c r="B10" s="10"/>
      <x:c r="C10" s="10" t="n">
        <x:v>704</x:v>
      </x:c>
      <x:c r="D10" s="10" t="n">
        <x:v>0.05092919387568435</x:v>
      </x:c>
      <x:c r="E10" s="10"/>
      <x:c r="F10" s="10"/>
    </x:row>
    <x:row r="11" ht="15" hidden="0" customHeight="1">
      <x:c r="A11" s="10" t="str">
        <x:v>Log score</x:v>
      </x:c>
      <x:c r="B11" s="10"/>
      <x:c r="C11" s="10" t="n">
        <x:v>704</x:v>
      </x:c>
      <x:c r="D11" s="10" t="n">
        <x:v>0.20379274576773215</x:v>
      </x:c>
      <x:c r="E11" s="10"/>
      <x:c r="F11" s="10"/>
    </x:row>
    <x:row r="12" ht="26.399999618530273" hidden="0" customHeight="1">
      <x:c r="A12" s="10" t="str">
        <x:v>Prediction–observation gap</x:v>
      </x:c>
      <x:c r="B12" s="10"/>
      <x:c r="C12" s="10" t="n">
        <x:v>704</x:v>
      </x:c>
      <x:c r="D12" s="10" t="n">
        <x:v>-0.013003305044082515</x:v>
      </x:c>
      <x:c r="E12" s="10"/>
      <x:c r="F12" s="10"/>
    </x:row>
  </x:sheetData>
  <x:pageMargins left="0.7" right="0.7" top="0.75" bottom="0.75" header="0.3" footer="0.3"/>
  <x:tableParts count="1">
    <x:tablePart xmlns:r="http://schemas.openxmlformats.org/officeDocument/2006/relationships" r:id="Rcd659c3dbd494c6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6.25" hidden="0" customWidth="1"/>
    <x:col min="3" max="3" width="16.25" hidden="0" customWidth="1"/>
    <x:col min="4" max="4" width="16.25" hidden="0" customWidth="1"/>
    <x:col min="5" max="5" width="16.25" hidden="0" customWidth="1"/>
    <x:col min="6" max="6" width="16.25" hidden="0" customWidth="1"/>
    <x:col min="7" max="7" width="16.25" hidden="0" customWidth="1"/>
    <x:col min="8" max="8" width="16.25" hidden="0" customWidth="1"/>
    <x:col min="9" max="9" width="16.25" hidden="0" customWidth="1"/>
    <x:col min="10" max="10" width="16.25" hidden="0" customWidth="1"/>
    <x:col min="11" max="11" width="16.25" hidden="0" customWidth="1"/>
  </x:cols>
  <x:sheetData>
    <x:row r="1" ht="26.399999618530273" hidden="0" customHeight="1">
      <x:c r="A1" s="8" t="str">
        <x:v>row_id</x:v>
      </x:c>
      <x:c r="B1" s="8" t="str">
        <x:v>P_x_high</x:v>
      </x:c>
      <x:c r="C1" s="8" t="str">
        <x:v>episodes</x:v>
      </x:c>
      <x:c r="D1" s="8" t="str">
        <x:v>monitoring_rate</x:v>
      </x:c>
      <x:c r="E1" s="8" t="str">
        <x:v>planned_replacement_rate</x:v>
      </x:c>
      <x:c r="F1" s="8" t="str">
        <x:v>replacement_CI95_low</x:v>
      </x:c>
      <x:c r="G1" s="8" t="str">
        <x:v>replacement_CI95_high</x:v>
      </x:c>
      <x:c r="H1" s="8" t="str">
        <x:v>direct_replacement_rate</x:v>
      </x:c>
      <x:c r="I1" s="8" t="str">
        <x:v>delayed_replacement_rate</x:v>
      </x:c>
      <x:c r="J1" s="8" t="str">
        <x:v>first_passage_rate</x:v>
      </x:c>
      <x:c r="K1" s="8" t="str">
        <x:v>constraint_violation_rate</x:v>
      </x:c>
    </x:row>
    <x:row r="2" ht="15" hidden="0" customHeight="1">
      <x:c r="A2" s="10" t="str">
        <x:v>T6-S0-PRIMARY</x:v>
      </x:c>
      <x:c r="B2" s="10" t="n">
        <x:v>0.25</x:v>
      </x:c>
      <x:c r="C2" s="10" t="n">
        <x:v>704</x:v>
      </x:c>
      <x:c r="D2" s="10" t="n">
        <x:v>0.9090909090909091</x:v>
      </x:c>
      <x:c r="E2" s="10" t="n">
        <x:v>0.36079545454545453</x:v>
      </x:c>
      <x:c r="F2" s="10" t="n">
        <x:v>0.32616507527760125</x:v>
      </x:c>
      <x:c r="G2" s="10" t="n">
        <x:v>0.39693676121761096</x:v>
      </x:c>
      <x:c r="H2" s="10" t="n">
        <x:v>0</x:v>
      </x:c>
      <x:c r="I2" s="10" t="n">
        <x:v>0.36079545454545453</x:v>
      </x:c>
      <x:c r="J2" s="10" t="n">
        <x:v>0.05539772727272727</x:v>
      </x:c>
      <x:c r="K2" s="10" t="n">
        <x:v>0</x:v>
      </x:c>
    </x:row>
    <x:row r="3" ht="15" hidden="0" customHeight="1">
      <x:c r="A3" s="10" t="str">
        <x:v>T6-S1-SEV050</x:v>
      </x:c>
      <x:c r="B3" s="10" t="n">
        <x:v>0.5</x:v>
      </x:c>
      <x:c r="C3" s="10" t="n">
        <x:v>256</x:v>
      </x:c>
      <x:c r="D3" s="10" t="n">
        <x:v>0</x:v>
      </x:c>
      <x:c r="E3" s="10" t="n">
        <x:v>1</x:v>
      </x:c>
      <x:c r="F3" s="10" t="n">
        <x:v>0.9852161435741286</x:v>
      </x:c>
      <x:c r="G3" s="10" t="n">
        <x:v>0.9999999999999999</x:v>
      </x:c>
      <x:c r="H3" s="10" t="n">
        <x:v>1</x:v>
      </x:c>
      <x:c r="I3" s="10" t="n">
        <x:v>0</x:v>
      </x:c>
      <x:c r="J3" s="10" t="n">
        <x:v>0</x:v>
      </x:c>
      <x:c r="K3" s="10" t="n">
        <x:v>0</x:v>
      </x:c>
    </x:row>
    <x:row r="4" ht="15" hidden="0" customHeight="1">
      <x:c r="A4" s="10" t="str">
        <x:v>T6-S2-SEV075</x:v>
      </x:c>
      <x:c r="B4" s="10" t="n">
        <x:v>0.75</x:v>
      </x:c>
      <x:c r="C4" s="10" t="n">
        <x:v>256</x:v>
      </x:c>
      <x:c r="D4" s="10" t="n">
        <x:v>0</x:v>
      </x:c>
      <x:c r="E4" s="10" t="n">
        <x:v>1</x:v>
      </x:c>
      <x:c r="F4" s="10" t="n">
        <x:v>0.9852161435741286</x:v>
      </x:c>
      <x:c r="G4" s="10" t="n">
        <x:v>0.9999999999999999</x:v>
      </x:c>
      <x:c r="H4" s="10" t="n">
        <x:v>1</x:v>
      </x:c>
      <x:c r="I4" s="10" t="n">
        <x:v>0</x:v>
      </x:c>
      <x:c r="J4" s="10" t="n">
        <x:v>0</x:v>
      </x:c>
      <x:c r="K4" s="10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73846cc983c41a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6.25" hidden="0" customWidth="1"/>
    <x:col min="3" max="3" width="16.25" hidden="0" customWidth="1"/>
    <x:col min="4" max="4" width="16.25" hidden="0" customWidth="1"/>
    <x:col min="5" max="5" width="16.25" hidden="0" customWidth="1"/>
    <x:col min="6" max="6" width="16.25" hidden="0" customWidth="1"/>
    <x:col min="7" max="7" width="16.25" hidden="0" customWidth="1"/>
    <x:col min="8" max="8" width="16.25" hidden="0" customWidth="1"/>
    <x:col min="9" max="9" width="16.25" hidden="0" customWidth="1"/>
  </x:cols>
  <x:sheetData>
    <x:row r="1" ht="26.399999618530273" hidden="0" customHeight="1">
      <x:c r="A1" s="8" t="str">
        <x:v>row_id</x:v>
      </x:c>
      <x:c r="B1" s="8" t="str">
        <x:v>n</x:v>
      </x:c>
      <x:c r="C1" s="8" t="str">
        <x:v>mean_control_minus_ablated</x:v>
      </x:c>
      <x:c r="D1" s="8" t="str">
        <x:v>median</x:v>
      </x:c>
      <x:c r="E1" s="8" t="str">
        <x:v>SD</x:v>
      </x:c>
      <x:c r="F1" s="8" t="str">
        <x:v>MAD_scale</x:v>
      </x:c>
      <x:c r="G1" s="8" t="str">
        <x:v>CI95_low</x:v>
      </x:c>
      <x:c r="H1" s="8" t="str">
        <x:v>CI95_high</x:v>
      </x:c>
      <x:c r="I1" s="8" t="str">
        <x:v>semantics</x:v>
      </x:c>
    </x:row>
    <x:row r="2" ht="66" hidden="0" customHeight="1">
      <x:c r="A2" s="10" t="str">
        <x:v>T6-ABL1</x:v>
      </x:c>
      <x:c r="B2" s="10" t="n">
        <x:v>256</x:v>
      </x:c>
      <x:c r="C2" s="10" t="n">
        <x:v>-0.03651367187499998</x:v>
      </x:c>
      <x:c r="D2" s="10" t="n">
        <x:v>-0.14999999999999997</x:v>
      </x:c>
      <x:c r="E2" s="10" t="n">
        <x:v>0.1314046150314459</x:v>
      </x:c>
      <x:c r="F2" s="10" t="n">
        <x:v>0</x:v>
      </x:c>
      <x:c r="G2" s="10" t="n">
        <x:v>-0.052027099609374974</x:v>
      </x:c>
      <x:c r="H2" s="10" t="n">
        <x:v>-0.020321533203125</x:v>
      </x:c>
      <x:c r="I2" s="10" t="str">
        <x:v>Disable endogenous information policies; paired against unchanged P-R4 control</x:v>
      </x:c>
    </x:row>
    <x:row r="3" ht="79.19999694824219" hidden="0" customHeight="1">
      <x:c r="A3" s="10" t="str">
        <x:v>T6-ABL2</x:v>
      </x:c>
      <x:c r="B3" s="10" t="n">
        <x:v>256</x:v>
      </x:c>
      <x:c r="C3" s="10" t="n">
        <x:v>0.22109863281249997</x:v>
      </x:c>
      <x:c r="D3" s="10" t="n">
        <x:v>0.10124999999999999</x:v>
      </x:c>
      <x:c r="E3" s="10" t="n">
        <x:v>0.1497926517481125</x:v>
      </x:c>
      <x:c r="F3" s="10" t="n">
        <x:v>0.15011324999999998</x:v>
      </x:c>
      <x:c r="G3" s="10" t="n">
        <x:v>0.20281494140624998</x:v>
      </x:c>
      <x:c r="H3" s="10" t="n">
        <x:v>0.23957104492187498</x:v>
      </x:c>
      <x:c r="I3" s="10" t="str">
        <x:v>Replace full belief by its mean-preserving degenerate belief; paired against unchanged P-R4 control</x:v>
      </x:c>
    </x:row>
    <x:row r="4" ht="79.19999694824219" hidden="0" customHeight="1">
      <x:c r="A4" s="10" t="str">
        <x:v>T6-ABL5</x:v>
      </x:c>
      <x:c r="B4" s="10" t="n">
        <x:v>256</x:v>
      </x:c>
      <x:c r="C4" s="10" t="n">
        <x:v>0.125087890625</x:v>
      </x:c>
      <x:c r="D4" s="10" t="n">
        <x:v>0.10124999999999999</x:v>
      </x:c>
      <x:c r="E4" s="10" t="n">
        <x:v>0.1674816117792056</x:v>
      </x:c>
      <x:c r="F4" s="10" t="n">
        <x:v>0</x:v>
      </x:c>
      <x:c r="G4" s="10" t="n">
        <x:v>0.10446215820312499</x:v>
      </x:c>
      <x:c r="H4" s="10" t="n">
        <x:v>0.1458544921875</x:v>
      </x:c>
      <x:c r="I4" s="10" t="str">
        <x:v>Disable reliability constraint in policy selection only; paired against unchanged P-R4 control</x:v>
      </x:c>
    </x:row>
    <x:row r="5" ht="79.19999694824219" hidden="0" customHeight="1">
      <x:c r="A5" s="10" t="str">
        <x:v>T6-ABL6</x:v>
      </x:c>
      <x:c r="B5" s="10" t="n">
        <x:v>256</x:v>
      </x:c>
      <x:c r="C5" s="10" t="n">
        <x:v>0</x:v>
      </x:c>
      <x:c r="D5" s="10" t="n">
        <x:v>0</x:v>
      </x:c>
      <x:c r="E5" s="10" t="n">
        <x:v>0</x:v>
      </x:c>
      <x:c r="F5" s="10" t="n">
        <x:v>0</x:v>
      </x:c>
      <x:c r="G5" s="10" t="n">
        <x:v>0</x:v>
      </x:c>
      <x:c r="H5" s="10" t="n">
        <x:v>0</x:v>
      </x:c>
      <x:c r="I5" s="10" t="str">
        <x:v>Replace reset distribution by mean-matched point reset 0.0875; paired against unchanged P-R4 control</x:v>
      </x:c>
    </x:row>
    <x:row r="6" ht="92.4000015258789" hidden="0" customHeight="1">
      <x:c r="A6" s="10" t="str">
        <x:v>T6-ABL8</x:v>
      </x:c>
      <x:c r="B6" s="10" t="n">
        <x:v>256</x:v>
      </x:c>
      <x:c r="C6" s="10" t="n">
        <x:v>0.010327148437500008</x:v>
      </x:c>
      <x:c r="D6" s="10" t="n">
        <x:v>0</x:v>
      </x:c>
      <x:c r="E6" s="10" t="n">
        <x:v>0.1387391018693828</x:v>
      </x:c>
      <x:c r="F6" s="10" t="n">
        <x:v>0.15011325</x:v>
      </x:c>
      <x:c r="G6" s="10" t="n">
        <x:v>-0.00647119140624999</x:v>
      </x:c>
      <x:c r="H6" s="10" t="n">
        <x:v>0.027456787109374995</x:v>
      </x:c>
      <x:c r="I6" s="10" t="str">
        <x:v>Remove branchwise epsilon-remaining rule only; retain epsilon and registered epsilon_remaining in lineage</x:v>
      </x:c>
    </x:row>
  </x:sheetData>
  <x:pageMargins left="0.7" right="0.7" top="0.75" bottom="0.75" header="0.3" footer="0.3"/>
  <x:tableParts count="1">
    <x:tablePart xmlns:r="http://schemas.openxmlformats.org/officeDocument/2006/relationships" r:id="R320280a21c5e451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36.25" hidden="0" customWidth="1"/>
    <x:col min="3" max="3" width="20" hidden="0" customWidth="1"/>
    <x:col min="4" max="4" width="26.8799991607666" hidden="0" customWidth="1"/>
    <x:col min="5" max="5" width="43.75" hidden="0" customWidth="1"/>
    <x:col min="6" max="6" width="32.5" hidden="0" customWidth="1"/>
    <x:col min="7" max="7" width="15.630000114440918" hidden="0" customWidth="1"/>
  </x:cols>
  <x:sheetData>
    <x:row r="1" ht="36" hidden="0" customHeight="1">
      <x:c r="A1" s="32" t="str">
        <x:v>baseline_id</x:v>
      </x:c>
      <x:c r="B1" s="33" t="str">
        <x:v>information_availability</x:v>
      </x:c>
      <x:c r="C1" s="33" t="str">
        <x:v>action_vocabulary</x:v>
      </x:c>
      <x:c r="D1" s="33" t="str">
        <x:v>reliability_constraint</x:v>
      </x:c>
      <x:c r="E1" s="33" t="str">
        <x:v>decision_rule</x:v>
      </x:c>
      <x:c r="F1" s="33" t="str">
        <x:v>scientific_relevance</x:v>
      </x:c>
      <x:c r="G1" s="34" t="str">
        <x:v>primary_multiplicity_family</x:v>
      </x:c>
    </x:row>
    <x:row r="2" ht="108" hidden="0" customHeight="1">
      <x:c r="A2" s="43" t="str">
        <x:v>B1</x:v>
      </x:c>
      <x:c r="B2" s="44" t="str">
        <x:v>Exposure and reset history only; no condition, posterior, monitoring, or oracle input</x:v>
      </x:c>
      <x:c r="C2" s="44" t="str">
        <x:v>Continue; PlannedReplacement</x:v>
      </x:c>
      <x:c r="D2" s="44" t="str">
        <x:v>None</x:v>
      </x:c>
      <x:c r="E2" s="44" t="str">
        <x:v>Replace when normalized cumulative exposure since reset reaches 0.625; otherwise continue</x:v>
      </x:c>
      <x:c r="F2" s="44" t="str">
        <x:v>Schedule-only comparator</x:v>
      </x:c>
      <x:c r="G2" s="45" t="str">
        <x:v>YES</x:v>
      </x:c>
    </x:row>
    <x:row r="3" ht="108" hidden="0" customHeight="1">
      <x:c r="A3" s="53" t="str">
        <x:v>B4</x:v>
      </x:c>
      <x:c r="B3" s="54" t="str">
        <x:v>Full deployable posterior belief; failure-oriented-state-v1 scalar mapping; no oracle input</x:v>
      </x:c>
      <x:c r="C3" s="54" t="str">
        <x:v>Continue; PlannedReplacement</x:v>
      </x:c>
      <x:c r="D3" s="54" t="str">
        <x:v>None</x:v>
      </x:c>
      <x:c r="E3" s="54" t="str">
        <x:v>Replace when posterior upper quantile q0.75 reaches 0.675; otherwise continue</x:v>
      </x:c>
      <x:c r="F3" s="54" t="str">
        <x:v>Conservative uncertainty-aware threshold comparator</x:v>
      </x:c>
      <x:c r="G3" s="55" t="str">
        <x:v>YES</x:v>
      </x:c>
    </x:row>
    <x:row r="4" ht="97.19999694824219" hidden="0" customHeight="1">
      <x:c r="A4" s="43" t="str">
        <x:v>B7</x:v>
      </x:c>
      <x:c r="B4" s="44" t="str">
        <x:v>Full deployable posterior belief; no endogenous information action; no oracle input</x:v>
      </x:c>
      <x:c r="C4" s="44" t="str">
        <x:v>Continue; PlannedReplacement</x:v>
      </x:c>
      <x:c r="D4" s="44" t="str">
        <x:v>ε=0.125 overall first-passage chance constraint; P-R4 numerical feasibility rules</x:v>
      </x:c>
      <x:c r="E4" s="44" t="str">
        <x:v>Choose the lower-J feasible direct action using the P-R4 objective and horizon</x:v>
      </x:c>
      <x:c r="F4" s="44" t="str">
        <x:v>Reliability-constrained one-stage comparator isolating the information-action stage</x:v>
      </x:c>
      <x:c r="G4" s="45" t="str">
        <x:v>YES</x:v>
      </x:c>
    </x:row>
    <x:row r="5" ht="172.8000030517578" hidden="0" customHeight="1">
      <x:c r="A5" s="53" t="str">
        <x:v>B6</x:v>
      </x:c>
      <x:c r="B5" s="54" t="str">
        <x:v>Full deployable posterior belief; no endogenous information action; no oracle input</x:v>
      </x:c>
      <x:c r="C5" s="54" t="str">
        <x:v>Continue; PlannedReplacement</x:v>
      </x:c>
      <x:c r="D5" s="54" t="str">
        <x:v>None</x:v>
      </x:c>
      <x:c r="E5" s="54" t="str">
        <x:v>Choose the minimum expected-J direct action under the same objective, models, horizon, and action semantics; report first-passage probability and violations</x:v>
      </x:c>
      <x:c r="F5" s="54" t="str">
        <x:v>Unconstrained Bayes diagnostic; not used for a primary claim</x:v>
      </x:c>
      <x:c r="G5" s="55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5f28cea271754389"/>
  </x:tableParts>
</x:worksheet>
</file>